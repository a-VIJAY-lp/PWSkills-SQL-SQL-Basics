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jay\Personal\pwSkills\data-analytics-course\Excel\"/>
    </mc:Choice>
  </mc:AlternateContent>
  <xr:revisionPtr revIDLastSave="0" documentId="13_ncr:1_{D746359F-05FF-4BC9-B060-3AEFC3C9D534}" xr6:coauthVersionLast="47" xr6:coauthVersionMax="47" xr10:uidLastSave="{00000000-0000-0000-0000-000000000000}"/>
  <bookViews>
    <workbookView xWindow="-108" yWindow="-108" windowWidth="23256" windowHeight="12456" activeTab="7" xr2:uid="{8D33A754-AC25-4C44-8C31-912EA3F946D4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/>
  <c r="D3" i="7"/>
  <c r="D2" i="6"/>
  <c r="D3" i="6"/>
  <c r="D4" i="6"/>
  <c r="B8" i="5"/>
  <c r="E2" i="4"/>
  <c r="C3" i="3"/>
  <c r="C4" i="3"/>
  <c r="C5" i="3"/>
  <c r="C6" i="3"/>
  <c r="C2" i="3"/>
  <c r="D3" i="2"/>
  <c r="D4" i="2"/>
  <c r="D5" i="2"/>
  <c r="D2" i="2"/>
  <c r="F6" i="1"/>
</calcChain>
</file>

<file path=xl/sharedStrings.xml><?xml version="1.0" encoding="utf-8"?>
<sst xmlns="http://schemas.openxmlformats.org/spreadsheetml/2006/main" count="63" uniqueCount="47">
  <si>
    <t>Student Name</t>
  </si>
  <si>
    <t>Marks</t>
  </si>
  <si>
    <t>Result</t>
  </si>
  <si>
    <t xml:space="preserve">Riya </t>
  </si>
  <si>
    <t>Siya</t>
  </si>
  <si>
    <t>Raju</t>
  </si>
  <si>
    <t>Rahul</t>
  </si>
  <si>
    <t>Ram</t>
  </si>
  <si>
    <t>Employee</t>
  </si>
  <si>
    <t>Sales</t>
  </si>
  <si>
    <t>Attendance</t>
  </si>
  <si>
    <t>Arjun</t>
  </si>
  <si>
    <t>Simran</t>
  </si>
  <si>
    <t>Rohit</t>
  </si>
  <si>
    <t>Anjali</t>
  </si>
  <si>
    <t>Raj</t>
  </si>
  <si>
    <t>Neha</t>
  </si>
  <si>
    <t>Vivek</t>
  </si>
  <si>
    <t>Rani</t>
  </si>
  <si>
    <t>Sneha</t>
  </si>
  <si>
    <t>EmpID</t>
  </si>
  <si>
    <t>Name</t>
  </si>
  <si>
    <t>Department</t>
  </si>
  <si>
    <t>E101</t>
  </si>
  <si>
    <t>IT</t>
  </si>
  <si>
    <t>E104</t>
  </si>
  <si>
    <t>Sejal</t>
  </si>
  <si>
    <t>E102</t>
  </si>
  <si>
    <t>Riya</t>
  </si>
  <si>
    <t>HR</t>
  </si>
  <si>
    <t>E103</t>
  </si>
  <si>
    <t>Roshni</t>
  </si>
  <si>
    <t>Finance</t>
  </si>
  <si>
    <t>Sales Amount</t>
  </si>
  <si>
    <t>Commission Rate</t>
  </si>
  <si>
    <t>Employee Name</t>
  </si>
  <si>
    <t>Leaves Taken</t>
  </si>
  <si>
    <t>Leaves Allowed</t>
  </si>
  <si>
    <t>Alex</t>
  </si>
  <si>
    <t>Bob</t>
  </si>
  <si>
    <t>Anna</t>
  </si>
  <si>
    <t>Salary</t>
  </si>
  <si>
    <t>E105</t>
  </si>
  <si>
    <t>E106</t>
  </si>
  <si>
    <t>Salary/Department</t>
  </si>
  <si>
    <t>E301</t>
  </si>
  <si>
    <t>E303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</si>
</sst>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Font="1" applyBorder="1"/>
    <xf numFmtId="9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Courier New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03B12-4905-4EC1-89B1-BDF909F3EEC3}" name="Table1" displayName="Table1" ref="A1:B6" totalsRowShown="0">
  <autoFilter ref="A1:B6" xr:uid="{DF403B12-4905-4EC1-89B1-BDF909F3EEC3}"/>
  <tableColumns count="2">
    <tableColumn id="1" xr3:uid="{C7BF1D0B-D46A-4299-9470-E53AB57F8B2D}" name="Student Name"/>
    <tableColumn id="2" xr3:uid="{337BE8B9-0683-4819-89FD-CD0F8FE77B90}" name="Mark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C6ACE2-CC2F-43E1-87B3-BEE716544E91}" name="Table2" displayName="Table2" ref="A1:C6" totalsRowShown="0">
  <autoFilter ref="A1:C6" xr:uid="{3DC6ACE2-CC2F-43E1-87B3-BEE716544E91}"/>
  <tableColumns count="3">
    <tableColumn id="1" xr3:uid="{CFF5264A-92CD-44D5-AE4C-D51C67532DE7}" name="Student Name"/>
    <tableColumn id="2" xr3:uid="{35574921-4AB2-4B7D-80B3-59F278983B61}" name="Marks"/>
    <tableColumn id="3" xr3:uid="{C4CAC07B-082C-46E4-9AF1-707414B7FBCA}" name="Result" dataDxfId="1">
      <calculatedColumnFormula>IF(B2&gt;=90,"A",IF(B2&gt;=75,"B",IF(B2&gt;=50,"C","Fail")))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9AD1E2-570E-43D6-BA4A-810EF91F6DFE}" name="Table3" displayName="Table3" ref="A1:C5" totalsRowShown="0">
  <autoFilter ref="A1:C5" xr:uid="{259AD1E2-570E-43D6-BA4A-810EF91F6DFE}"/>
  <tableColumns count="3">
    <tableColumn id="1" xr3:uid="{DCB4DC1F-A3FB-431A-86B5-BB70BDD87335}" name="EmpID"/>
    <tableColumn id="2" xr3:uid="{FAE02999-77B0-4008-8C49-708AA6565797}" name="Name"/>
    <tableColumn id="3" xr3:uid="{9F9E6D05-2410-4CA4-9338-880C3C5662B6}" name="Depart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9BFD5A-1C69-4BE9-9F55-B2501E1CE1CB}" name="Table4" displayName="Table4" ref="A1:D4" totalsRowShown="0">
  <autoFilter ref="A1:D4" xr:uid="{E59BFD5A-1C69-4BE9-9F55-B2501E1CE1CB}"/>
  <tableColumns count="4">
    <tableColumn id="1" xr3:uid="{65B8E991-D540-4398-B961-55B9328B0D6B}" name="Employee Name"/>
    <tableColumn id="2" xr3:uid="{D8A655C9-8196-41DE-97D9-BA2FB61FA0F6}" name="Leaves Taken"/>
    <tableColumn id="3" xr3:uid="{DFEDE305-5429-498A-8518-6FB98535BD8C}" name="Leaves Allowed"/>
    <tableColumn id="4" xr3:uid="{D7576F98-F8EC-4162-B653-3A38F81C5F71}" name="Result" dataDxfId="0">
      <calculatedColumnFormula>IF(B2&gt;C2,"Exceeded","OK")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9461AA-4AB1-40B2-B3F4-89926B833605}" name="Table5" displayName="Table5" ref="A1:B5" totalsRowShown="0">
  <autoFilter ref="A1:B5" xr:uid="{6F9461AA-4AB1-40B2-B3F4-89926B833605}"/>
  <tableColumns count="2">
    <tableColumn id="1" xr3:uid="{3617C923-BDDD-4B1B-8152-372ABB9AA463}" name="EmpID"/>
    <tableColumn id="2" xr3:uid="{A8E5F2A9-4CE7-4E46-926F-BFCA015C3092}" name="Salary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E92101-4082-462E-B64E-C92A6CD16C19}" name="Table6" displayName="Table6" ref="A1:B5" totalsRowShown="0">
  <autoFilter ref="A1:B5" xr:uid="{C3E92101-4082-462E-B64E-C92A6CD16C19}"/>
  <tableColumns count="2">
    <tableColumn id="1" xr3:uid="{3F19262F-BD62-4A1B-842F-3E623C661845}" name="EmpID"/>
    <tableColumn id="2" xr3:uid="{A3A898DD-4373-4297-A304-187B2E5556B9}" name="Salary/Depart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B4FD-BFBF-4683-ABF1-4D4817103E67}">
  <dimension ref="A1:F6"/>
  <sheetViews>
    <sheetView workbookViewId="0">
      <selection activeCell="F9" sqref="F9"/>
    </sheetView>
  </sheetViews>
  <sheetFormatPr defaultRowHeight="14.4" x14ac:dyDescent="0.3"/>
  <cols>
    <col min="1" max="1" width="15.109375" bestFit="1" customWidth="1"/>
    <col min="2" max="2" width="8.21875" bestFit="1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3</v>
      </c>
      <c r="B2">
        <v>45</v>
      </c>
    </row>
    <row r="3" spans="1:6" x14ac:dyDescent="0.3">
      <c r="A3" t="s">
        <v>4</v>
      </c>
      <c r="B3">
        <v>72</v>
      </c>
    </row>
    <row r="4" spans="1:6" x14ac:dyDescent="0.3">
      <c r="A4" t="s">
        <v>5</v>
      </c>
      <c r="B4">
        <v>55</v>
      </c>
    </row>
    <row r="5" spans="1:6" x14ac:dyDescent="0.3">
      <c r="A5" t="s">
        <v>6</v>
      </c>
      <c r="B5">
        <v>80</v>
      </c>
      <c r="F5" s="1" t="s">
        <v>2</v>
      </c>
    </row>
    <row r="6" spans="1:6" x14ac:dyDescent="0.3">
      <c r="A6" t="s">
        <v>7</v>
      </c>
      <c r="B6">
        <v>30</v>
      </c>
      <c r="F6" s="2" t="str">
        <f>IF(B2&gt;=40,"Pass","Fail")</f>
        <v>Pass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A3BE-3FB8-46FA-82AA-B2BE888B2789}">
  <dimension ref="A1:D5"/>
  <sheetViews>
    <sheetView workbookViewId="0">
      <selection activeCell="D2" sqref="D2:D5"/>
    </sheetView>
  </sheetViews>
  <sheetFormatPr defaultRowHeight="14.4" x14ac:dyDescent="0.3"/>
  <cols>
    <col min="1" max="1" width="14" customWidth="1"/>
  </cols>
  <sheetData>
    <row r="1" spans="1:4" x14ac:dyDescent="0.3">
      <c r="A1" t="s">
        <v>8</v>
      </c>
      <c r="B1" t="s">
        <v>9</v>
      </c>
      <c r="C1" t="s">
        <v>10</v>
      </c>
    </row>
    <row r="2" spans="1:4" x14ac:dyDescent="0.3">
      <c r="A2" t="s">
        <v>11</v>
      </c>
      <c r="B2">
        <v>55000</v>
      </c>
      <c r="C2">
        <v>95</v>
      </c>
      <c r="D2" t="str">
        <f>IF(AND(B2&gt;40000,C2&gt;=90),"Bonus","No Bonus")</f>
        <v>Bonus</v>
      </c>
    </row>
    <row r="3" spans="1:4" x14ac:dyDescent="0.3">
      <c r="A3" t="s">
        <v>12</v>
      </c>
      <c r="B3">
        <v>65000</v>
      </c>
      <c r="C3">
        <v>85</v>
      </c>
      <c r="D3" t="str">
        <f t="shared" ref="D3:D5" si="0">IF(AND(B3&gt;40000,C3&gt;=90),"Bonus","No Bonus")</f>
        <v>No Bonus</v>
      </c>
    </row>
    <row r="4" spans="1:4" x14ac:dyDescent="0.3">
      <c r="A4" t="s">
        <v>13</v>
      </c>
      <c r="B4">
        <v>30000</v>
      </c>
      <c r="C4">
        <v>90</v>
      </c>
      <c r="D4" t="str">
        <f t="shared" si="0"/>
        <v>No Bonus</v>
      </c>
    </row>
    <row r="5" spans="1:4" x14ac:dyDescent="0.3">
      <c r="A5" t="s">
        <v>14</v>
      </c>
      <c r="B5">
        <v>25000</v>
      </c>
      <c r="C5">
        <v>65</v>
      </c>
      <c r="D5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5510-6497-4868-A1B8-3639E96CF326}">
  <dimension ref="A1:C6"/>
  <sheetViews>
    <sheetView workbookViewId="0">
      <selection activeCell="E8" sqref="E8"/>
    </sheetView>
  </sheetViews>
  <sheetFormatPr defaultRowHeight="14.4" x14ac:dyDescent="0.3"/>
  <cols>
    <col min="1" max="1" width="1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>
        <v>85</v>
      </c>
      <c r="C2" t="str">
        <f>IF(B2&gt;=90,"A",IF(B2&gt;=75,"B",IF(B2&gt;=50,"C","Fail")))</f>
        <v>B</v>
      </c>
    </row>
    <row r="3" spans="1:3" x14ac:dyDescent="0.3">
      <c r="A3" t="s">
        <v>16</v>
      </c>
      <c r="B3">
        <v>96</v>
      </c>
      <c r="C3" t="str">
        <f t="shared" ref="C3:C6" si="0">IF(B3&gt;=90,"A",IF(B3&gt;=75,"B",IF(B3&gt;=50,"C","Fail")))</f>
        <v>A</v>
      </c>
    </row>
    <row r="4" spans="1:3" x14ac:dyDescent="0.3">
      <c r="A4" t="s">
        <v>17</v>
      </c>
      <c r="B4">
        <v>57</v>
      </c>
      <c r="C4" t="str">
        <f t="shared" si="0"/>
        <v>C</v>
      </c>
    </row>
    <row r="5" spans="1:3" x14ac:dyDescent="0.3">
      <c r="A5" t="s">
        <v>18</v>
      </c>
      <c r="B5">
        <v>92</v>
      </c>
      <c r="C5" t="str">
        <f t="shared" si="0"/>
        <v>A</v>
      </c>
    </row>
    <row r="6" spans="1:3" x14ac:dyDescent="0.3">
      <c r="A6" t="s">
        <v>19</v>
      </c>
      <c r="B6">
        <v>75</v>
      </c>
      <c r="C6" t="str">
        <f t="shared" si="0"/>
        <v>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3EE0-4D9C-4C8F-8AA9-D0C115EA8AA7}">
  <dimension ref="A1:E5"/>
  <sheetViews>
    <sheetView workbookViewId="0">
      <selection activeCell="F7" sqref="F7"/>
    </sheetView>
  </sheetViews>
  <sheetFormatPr defaultRowHeight="14.4" x14ac:dyDescent="0.3"/>
  <cols>
    <col min="3" max="3" width="12.44140625" customWidth="1"/>
  </cols>
  <sheetData>
    <row r="1" spans="1:5" x14ac:dyDescent="0.3">
      <c r="A1" t="s">
        <v>20</v>
      </c>
      <c r="B1" t="s">
        <v>21</v>
      </c>
      <c r="C1" t="s">
        <v>22</v>
      </c>
    </row>
    <row r="2" spans="1:5" x14ac:dyDescent="0.3">
      <c r="A2" t="s">
        <v>23</v>
      </c>
      <c r="B2" t="s">
        <v>5</v>
      </c>
      <c r="C2" t="s">
        <v>24</v>
      </c>
      <c r="E2" s="1" t="str">
        <f>VLOOKUP("E103",A2:C5,3,FALSE)</f>
        <v>Finance</v>
      </c>
    </row>
    <row r="3" spans="1:5" x14ac:dyDescent="0.3">
      <c r="A3" t="s">
        <v>27</v>
      </c>
      <c r="B3" t="s">
        <v>28</v>
      </c>
      <c r="C3" t="s">
        <v>29</v>
      </c>
    </row>
    <row r="4" spans="1:5" x14ac:dyDescent="0.3">
      <c r="A4" t="s">
        <v>30</v>
      </c>
      <c r="B4" t="s">
        <v>31</v>
      </c>
      <c r="C4" t="s">
        <v>32</v>
      </c>
    </row>
    <row r="5" spans="1:5" x14ac:dyDescent="0.3">
      <c r="A5" t="s">
        <v>25</v>
      </c>
      <c r="B5" t="s">
        <v>26</v>
      </c>
      <c r="C5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CFCC-4778-47F9-8BDB-F89A2155B437}">
  <dimension ref="A1:B8"/>
  <sheetViews>
    <sheetView workbookViewId="0">
      <selection activeCell="B8" sqref="B8"/>
    </sheetView>
  </sheetViews>
  <sheetFormatPr defaultRowHeight="14.4" x14ac:dyDescent="0.3"/>
  <cols>
    <col min="1" max="1" width="11.88671875" bestFit="1" customWidth="1"/>
    <col min="2" max="2" width="15.109375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>
        <v>0</v>
      </c>
      <c r="B2" s="3">
        <v>0.05</v>
      </c>
    </row>
    <row r="3" spans="1:2" x14ac:dyDescent="0.3">
      <c r="A3">
        <v>20000</v>
      </c>
      <c r="B3" s="3">
        <v>0.1</v>
      </c>
    </row>
    <row r="4" spans="1:2" x14ac:dyDescent="0.3">
      <c r="A4">
        <v>50000</v>
      </c>
      <c r="B4" s="3">
        <v>0.15</v>
      </c>
    </row>
    <row r="5" spans="1:2" x14ac:dyDescent="0.3">
      <c r="A5">
        <v>80000</v>
      </c>
      <c r="B5" s="3">
        <v>0.2</v>
      </c>
    </row>
    <row r="8" spans="1:2" x14ac:dyDescent="0.3">
      <c r="B8">
        <f>VLOOKUP(45000,A2:B5,2,TRUE)</f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4891-DDA0-4BD9-ABEA-833C45E20C45}">
  <dimension ref="A1:D4"/>
  <sheetViews>
    <sheetView workbookViewId="0">
      <selection activeCell="D8" sqref="D8"/>
    </sheetView>
  </sheetViews>
  <sheetFormatPr defaultRowHeight="14.4" x14ac:dyDescent="0.3"/>
  <cols>
    <col min="1" max="1" width="15.88671875" customWidth="1"/>
    <col min="2" max="2" width="13.5546875" customWidth="1"/>
    <col min="3" max="3" width="15.109375" customWidth="1"/>
    <col min="4" max="4" width="29.664062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2</v>
      </c>
    </row>
    <row r="2" spans="1:4" x14ac:dyDescent="0.3">
      <c r="A2" t="s">
        <v>38</v>
      </c>
      <c r="B2">
        <v>10</v>
      </c>
      <c r="C2">
        <v>12</v>
      </c>
      <c r="D2" t="str">
        <f t="shared" ref="D2:D4" si="0">IF(B2&gt;C2,"Exceeded","OK")</f>
        <v>OK</v>
      </c>
    </row>
    <row r="3" spans="1:4" x14ac:dyDescent="0.3">
      <c r="A3" t="s">
        <v>39</v>
      </c>
      <c r="B3">
        <v>10</v>
      </c>
      <c r="C3">
        <v>15</v>
      </c>
      <c r="D3" t="str">
        <f t="shared" si="0"/>
        <v>OK</v>
      </c>
    </row>
    <row r="4" spans="1:4" x14ac:dyDescent="0.3">
      <c r="A4" t="s">
        <v>40</v>
      </c>
      <c r="B4">
        <v>8</v>
      </c>
      <c r="C4">
        <v>12</v>
      </c>
      <c r="D4" t="str">
        <f t="shared" si="0"/>
        <v>OK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30EB-7104-426A-AC51-909F4B0B0687}">
  <dimension ref="A1:D5"/>
  <sheetViews>
    <sheetView workbookViewId="0">
      <selection activeCell="F6" sqref="F6"/>
    </sheetView>
  </sheetViews>
  <sheetFormatPr defaultRowHeight="14.4" x14ac:dyDescent="0.3"/>
  <sheetData>
    <row r="1" spans="1:4" x14ac:dyDescent="0.3">
      <c r="A1" t="s">
        <v>20</v>
      </c>
      <c r="B1" t="s">
        <v>41</v>
      </c>
    </row>
    <row r="2" spans="1:4" x14ac:dyDescent="0.3">
      <c r="A2" t="s">
        <v>25</v>
      </c>
      <c r="B2">
        <v>55000</v>
      </c>
    </row>
    <row r="3" spans="1:4" x14ac:dyDescent="0.3">
      <c r="A3" t="s">
        <v>42</v>
      </c>
      <c r="B3">
        <v>72000</v>
      </c>
      <c r="D3" s="1">
        <f>INDEX(B2:B5, MATCH("E105", A2:A5, 0))</f>
        <v>72000</v>
      </c>
    </row>
    <row r="4" spans="1:4" x14ac:dyDescent="0.3">
      <c r="A4" t="s">
        <v>43</v>
      </c>
      <c r="B4">
        <v>62000</v>
      </c>
    </row>
    <row r="5" spans="1:4" x14ac:dyDescent="0.3">
      <c r="A5" t="s">
        <v>27</v>
      </c>
      <c r="B5">
        <v>41000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AAC5-E946-4E12-8946-83D09085960F}">
  <dimension ref="A1:D6"/>
  <sheetViews>
    <sheetView tabSelected="1" workbookViewId="0">
      <selection activeCell="D6" sqref="D6"/>
    </sheetView>
  </sheetViews>
  <sheetFormatPr defaultRowHeight="14.4" x14ac:dyDescent="0.3"/>
  <cols>
    <col min="2" max="2" width="18" customWidth="1"/>
  </cols>
  <sheetData>
    <row r="1" spans="1:4" x14ac:dyDescent="0.3">
      <c r="A1" t="s">
        <v>20</v>
      </c>
      <c r="B1" t="s">
        <v>44</v>
      </c>
    </row>
    <row r="2" spans="1:4" x14ac:dyDescent="0.3">
      <c r="A2" t="s">
        <v>23</v>
      </c>
      <c r="B2" t="s">
        <v>29</v>
      </c>
    </row>
    <row r="3" spans="1:4" x14ac:dyDescent="0.3">
      <c r="A3" t="s">
        <v>46</v>
      </c>
      <c r="B3" t="s">
        <v>24</v>
      </c>
    </row>
    <row r="4" spans="1:4" x14ac:dyDescent="0.3">
      <c r="A4" t="s">
        <v>43</v>
      </c>
      <c r="B4" t="s">
        <v>9</v>
      </c>
    </row>
    <row r="5" spans="1:4" x14ac:dyDescent="0.3">
      <c r="A5" t="s">
        <v>45</v>
      </c>
      <c r="B5" t="s">
        <v>32</v>
      </c>
    </row>
    <row r="6" spans="1:4" x14ac:dyDescent="0.3">
      <c r="D6" s="1" t="str">
        <f>_xlfn.XLOOKUP("E303", A2:A5, B2:B5)</f>
        <v>IT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A</dc:creator>
  <cp:lastModifiedBy>Vijay A</cp:lastModifiedBy>
  <dcterms:created xsi:type="dcterms:W3CDTF">2025-12-21T07:22:00Z</dcterms:created>
  <dcterms:modified xsi:type="dcterms:W3CDTF">2025-12-21T07:45:14Z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b93e4b-9751-46a5-9435-09ff585b77dc_Enabled">
    <vt:lpwstr>true</vt:lpwstr>
  </property>
  <property fmtid="{D5CDD505-2E9C-101B-9397-08002B2CF9AE}" pid="3" name="MSIP_Label_adb93e4b-9751-46a5-9435-09ff585b77dc_SetDate">
    <vt:lpwstr>2025-12-21T07:28:57Z</vt:lpwstr>
  </property>
  <property fmtid="{D5CDD505-2E9C-101B-9397-08002B2CF9AE}" pid="4" name="MSIP_Label_adb93e4b-9751-46a5-9435-09ff585b77dc_Method">
    <vt:lpwstr>Standard</vt:lpwstr>
  </property>
  <property fmtid="{D5CDD505-2E9C-101B-9397-08002B2CF9AE}" pid="5" name="MSIP_Label_adb93e4b-9751-46a5-9435-09ff585b77dc_Name">
    <vt:lpwstr>Internal use</vt:lpwstr>
  </property>
  <property fmtid="{D5CDD505-2E9C-101B-9397-08002B2CF9AE}" pid="6" name="MSIP_Label_adb93e4b-9751-46a5-9435-09ff585b77dc_SiteId">
    <vt:lpwstr>7e3afdbf-448d-44e0-b421-5460076ac9e4</vt:lpwstr>
  </property>
  <property fmtid="{D5CDD505-2E9C-101B-9397-08002B2CF9AE}" pid="7" name="MSIP_Label_adb93e4b-9751-46a5-9435-09ff585b77dc_ActionId">
    <vt:lpwstr>35b898f1-f977-4827-b5c5-db5f47559897</vt:lpwstr>
  </property>
  <property fmtid="{D5CDD505-2E9C-101B-9397-08002B2CF9AE}" pid="8" name="MSIP_Label_adb93e4b-9751-46a5-9435-09ff585b77dc_ContentBits">
    <vt:lpwstr>0</vt:lpwstr>
  </property>
  <property fmtid="{D5CDD505-2E9C-101B-9397-08002B2CF9AE}" pid="9" name="MSIP_Label_adb93e4b-9751-46a5-9435-09ff585b77dc_Tag">
    <vt:lpwstr>10, 3, 0, 1</vt:lpwstr>
  </property>
</Properties>
</file>